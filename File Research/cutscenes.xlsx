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66925"/>
  <xr:revisionPtr revIDLastSave="0" documentId="13_ncr:1_{B70F9513-D7FC-4337-9D7D-6D88AF7E0725}" xr6:coauthVersionLast="47" xr6:coauthVersionMax="47" xr10:uidLastSave="{00000000-0000-0000-0000-000000000000}"/>
  <bookViews>
    <workbookView xWindow="2438" yWindow="848" windowWidth="16680" windowHeight="11444" activeTab="2" xr2:uid="{2AD68F47-D934-4C71-AC61-3EC6CD4F6DA3}"/>
  </bookViews>
  <sheets>
    <sheet name="functions" sheetId="1" r:id="rId1"/>
    <sheet name="source" sheetId="2" r:id="rId2"/>
    <sheet name="Cutscene flag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1" i="1"/>
  <c r="H11" i="1"/>
  <c r="H12" i="1"/>
  <c r="H27" i="1"/>
  <c r="H28" i="1"/>
  <c r="H1" i="1"/>
  <c r="B2" i="1"/>
  <c r="H2" i="1" s="1"/>
  <c r="B3" i="1"/>
  <c r="H3" i="1" s="1"/>
  <c r="B4" i="1"/>
  <c r="H4" i="1" s="1"/>
  <c r="B5" i="1"/>
  <c r="H5" i="1" s="1"/>
  <c r="B6" i="1"/>
  <c r="H6" i="1" s="1"/>
  <c r="B7" i="1"/>
  <c r="H7" i="1" s="1"/>
  <c r="B8" i="1"/>
  <c r="H8" i="1" s="1"/>
  <c r="B9" i="1"/>
  <c r="H9" i="1" s="1"/>
  <c r="B10" i="1"/>
  <c r="H10" i="1" s="1"/>
  <c r="B11" i="1"/>
  <c r="B12" i="1"/>
  <c r="B13" i="1"/>
  <c r="H13" i="1" s="1"/>
  <c r="B14" i="1"/>
  <c r="H14" i="1" s="1"/>
  <c r="B15" i="1"/>
  <c r="H15" i="1" s="1"/>
  <c r="B16" i="1"/>
  <c r="H16" i="1" s="1"/>
  <c r="B17" i="1"/>
  <c r="H17" i="1" s="1"/>
  <c r="B18" i="1"/>
  <c r="H18" i="1" s="1"/>
  <c r="B19" i="1"/>
  <c r="H19" i="1" s="1"/>
  <c r="B20" i="1"/>
  <c r="H20" i="1" s="1"/>
  <c r="B21" i="1"/>
  <c r="H21" i="1" s="1"/>
  <c r="B22" i="1"/>
  <c r="H22" i="1" s="1"/>
  <c r="B23" i="1"/>
  <c r="H23" i="1" s="1"/>
  <c r="B24" i="1"/>
  <c r="H24" i="1" s="1"/>
  <c r="B25" i="1"/>
  <c r="H25" i="1" s="1"/>
  <c r="B26" i="1"/>
  <c r="H26" i="1" s="1"/>
  <c r="B27" i="1"/>
  <c r="B28" i="1"/>
  <c r="B1" i="1"/>
</calcChain>
</file>

<file path=xl/sharedStrings.xml><?xml version="1.0" encoding="utf-8"?>
<sst xmlns="http://schemas.openxmlformats.org/spreadsheetml/2006/main" count="97" uniqueCount="79">
  <si>
    <t>show-text</t>
  </si>
  <si>
    <t>displays text arg[1] with color arg[0]</t>
  </si>
  <si>
    <t>set-flag</t>
  </si>
  <si>
    <t>sets some flag to 0</t>
  </si>
  <si>
    <t>no-op</t>
  </si>
  <si>
    <t>no-op, arguments are ignored</t>
  </si>
  <si>
    <t>pause</t>
  </si>
  <si>
    <t>pauses for arg[0] / 2 seconds</t>
  </si>
  <si>
    <t>to-frame</t>
  </si>
  <si>
    <t>plays up to frame arg[0]</t>
  </si>
  <si>
    <t>unknown, set frame for static cutscene?</t>
  </si>
  <si>
    <t>end-cutsc</t>
  </si>
  <si>
    <t>ends cutscene</t>
  </si>
  <si>
    <t>rep-seg</t>
  </si>
  <si>
    <t>repeat segment arg[0] times</t>
  </si>
  <si>
    <t>open-file</t>
  </si>
  <si>
    <t>fade-out</t>
  </si>
  <si>
    <t>fades out at rate arg[0] (higher is faster)</t>
  </si>
  <si>
    <t>000a</t>
  </si>
  <si>
    <t>fade-in</t>
  </si>
  <si>
    <t>fades in at rate arg[0] (higher is faster)</t>
  </si>
  <si>
    <t>000b</t>
  </si>
  <si>
    <t>unknown</t>
  </si>
  <si>
    <t>000c</t>
  </si>
  <si>
    <t>000d</t>
  </si>
  <si>
    <t>text-play</t>
  </si>
  <si>
    <t>000e</t>
  </si>
  <si>
    <t>000f</t>
  </si>
  <si>
    <t>klang</t>
  </si>
  <si>
    <t>plays 'klang' sound</t>
  </si>
  <si>
    <t>*</t>
  </si>
  <si>
    <t>unknown, not used in uw2</t>
  </si>
  <si>
    <t>no-op2</t>
  </si>
  <si>
    <t>does nothing, not used in uw2</t>
  </si>
  <si>
    <t>unknown, usually at the start of cutscene</t>
  </si>
  <si>
    <t>001a</t>
  </si>
  <si>
    <t>no-op3</t>
  </si>
  <si>
    <t>001b</t>
  </si>
  <si>
    <t>opens a new file csXXX.nYY, with XXX from arg[0] and YY from arg[1]; XXX and YY are formatted octal values</t>
  </si>
  <si>
    <t>displays text arg[1] with color arg[0] and plays audio arg[2]</t>
  </si>
  <si>
    <t>5????</t>
  </si>
  <si>
    <t>11????</t>
  </si>
  <si>
    <t>12????</t>
  </si>
  <si>
    <t>14????</t>
  </si>
  <si>
    <t>16????</t>
  </si>
  <si>
    <t>17????</t>
  </si>
  <si>
    <t>19????</t>
  </si>
  <si>
    <t>20????</t>
  </si>
  <si>
    <t>21????</t>
  </si>
  <si>
    <t>22????</t>
  </si>
  <si>
    <t>23????</t>
  </si>
  <si>
    <t>24????</t>
  </si>
  <si>
    <t>27????</t>
  </si>
  <si>
    <t>//Based on file research from https://github.com/jastadj/uwgodot2/tree/main/docs</t>
  </si>
  <si>
    <t>music</t>
  </si>
  <si>
    <t>Plays Music theme given by arg[0]</t>
  </si>
  <si>
    <t>Cleared in ending cutscene function</t>
  </si>
  <si>
    <t>Cleared when setting up a pause</t>
  </si>
  <si>
    <t>When set the pause function is ignored?</t>
  </si>
  <si>
    <t>0x5B</t>
  </si>
  <si>
    <t>Stores the pause duration in the pause function</t>
  </si>
  <si>
    <t>0-7</t>
  </si>
  <si>
    <t>0x3F</t>
  </si>
  <si>
    <t>Stores the frame value in the pause function</t>
  </si>
  <si>
    <t>0x3D</t>
  </si>
  <si>
    <t>double check</t>
  </si>
  <si>
    <t>Stores frame in (arg[0] in PlayToFrame)</t>
  </si>
  <si>
    <t>0x3B</t>
  </si>
  <si>
    <t>Possibly the number of linefeeds in the cutscene string. Set in function 1, cleared in function 2</t>
  </si>
  <si>
    <t>0x39</t>
  </si>
  <si>
    <t>Stores colour for cutscene subtitle (arg[0] in CutsceneDisplayString)</t>
  </si>
  <si>
    <t>0x38</t>
  </si>
  <si>
    <t>Possibly where the string is stored in memory??</t>
  </si>
  <si>
    <t>0x22</t>
  </si>
  <si>
    <t>Related to the string in a cutscene.</t>
  </si>
  <si>
    <t>0x20</t>
  </si>
  <si>
    <t>Meaning</t>
  </si>
  <si>
    <t>Bits</t>
  </si>
  <si>
    <t>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</si>
</sst>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AE62-7926-4BE9-816B-3F90FAB90396}">
  <dimension ref="A1:H28"/>
  <sheetViews>
    <sheetView workbookViewId="0">
      <selection activeCell="G28" sqref="G1:G28"/>
    </sheetView>
  </sheetViews>
  <sheetFormatPr defaultRowHeight="14.25" x14ac:dyDescent="0.45"/>
  <cols>
    <col min="4" max="4" width="10.6640625" bestFit="1" customWidth="1"/>
    <col min="6" max="6" width="86.6640625" bestFit="1" customWidth="1"/>
    <col min="7" max="7" width="86.6640625" customWidth="1"/>
  </cols>
  <sheetData>
    <row r="1" spans="1:8" x14ac:dyDescent="0.45">
      <c r="A1">
        <v>0</v>
      </c>
      <c r="B1">
        <f>HEX2DEC(A1)</f>
        <v>0</v>
      </c>
      <c r="C1" t="s">
        <v>0</v>
      </c>
      <c r="D1" t="str">
        <f>CHAR(34)&amp;C1&amp;CHAR(34)&amp;","</f>
        <v>"show-text",</v>
      </c>
      <c r="E1">
        <v>2</v>
      </c>
      <c r="F1" t="s">
        <v>1</v>
      </c>
      <c r="G1" t="str">
        <f>CHAR(34) &amp; F1&amp;CHAR(34)&amp;","</f>
        <v>"displays text arg[1] with color arg[0]",</v>
      </c>
      <c r="H1" t="str">
        <f>"case " &amp; B1 &amp; ": return " &amp; E1 &amp; ";//" &amp; F1</f>
        <v>case 0: return 2;//displays text arg[1] with color arg[0]</v>
      </c>
    </row>
    <row r="2" spans="1:8" x14ac:dyDescent="0.45">
      <c r="A2">
        <v>1</v>
      </c>
      <c r="B2">
        <f t="shared" ref="B2:B28" si="0">HEX2DEC(A2)</f>
        <v>1</v>
      </c>
      <c r="C2" t="s">
        <v>2</v>
      </c>
      <c r="D2" t="str">
        <f t="shared" ref="D2:D28" si="1">CHAR(34)&amp;C2&amp;CHAR(34)&amp;","</f>
        <v>"set-flag",</v>
      </c>
      <c r="E2">
        <v>0</v>
      </c>
      <c r="F2" t="s">
        <v>3</v>
      </c>
      <c r="G2" t="str">
        <f t="shared" ref="G2:G28" si="2">CHAR(34) &amp; F2&amp;CHAR(34)&amp;","</f>
        <v>"sets some flag to 0",</v>
      </c>
      <c r="H2" t="str">
        <f t="shared" ref="H2:H28" si="3">"case " &amp; B2 &amp; ": return " &amp; E2 &amp; ";//" &amp; F2</f>
        <v>case 1: return 0;//sets some flag to 0</v>
      </c>
    </row>
    <row r="3" spans="1:8" x14ac:dyDescent="0.45">
      <c r="A3">
        <v>2</v>
      </c>
      <c r="B3">
        <f t="shared" si="0"/>
        <v>2</v>
      </c>
      <c r="C3" t="s">
        <v>4</v>
      </c>
      <c r="D3" t="str">
        <f t="shared" si="1"/>
        <v>"no-op",</v>
      </c>
      <c r="E3">
        <v>2</v>
      </c>
      <c r="F3" t="s">
        <v>5</v>
      </c>
      <c r="G3" t="str">
        <f t="shared" si="2"/>
        <v>"no-op, arguments are ignored",</v>
      </c>
      <c r="H3" t="str">
        <f t="shared" si="3"/>
        <v>case 2: return 2;//no-op, arguments are ignored</v>
      </c>
    </row>
    <row r="4" spans="1:8" x14ac:dyDescent="0.45">
      <c r="A4">
        <v>3</v>
      </c>
      <c r="B4">
        <f t="shared" si="0"/>
        <v>3</v>
      </c>
      <c r="C4" t="s">
        <v>6</v>
      </c>
      <c r="D4" t="str">
        <f t="shared" si="1"/>
        <v>"pause",</v>
      </c>
      <c r="E4">
        <v>1</v>
      </c>
      <c r="F4" t="s">
        <v>7</v>
      </c>
      <c r="G4" t="str">
        <f t="shared" si="2"/>
        <v>"pauses for arg[0] / 2 seconds",</v>
      </c>
      <c r="H4" t="str">
        <f t="shared" si="3"/>
        <v>case 3: return 1;//pauses for arg[0] / 2 seconds</v>
      </c>
    </row>
    <row r="5" spans="1:8" x14ac:dyDescent="0.45">
      <c r="A5">
        <v>4</v>
      </c>
      <c r="B5">
        <f t="shared" si="0"/>
        <v>4</v>
      </c>
      <c r="C5" t="s">
        <v>8</v>
      </c>
      <c r="D5" t="str">
        <f t="shared" si="1"/>
        <v>"to-frame",</v>
      </c>
      <c r="E5">
        <v>2</v>
      </c>
      <c r="F5" t="s">
        <v>9</v>
      </c>
      <c r="G5" t="str">
        <f t="shared" si="2"/>
        <v>"plays up to frame arg[0]",</v>
      </c>
      <c r="H5" t="str">
        <f t="shared" si="3"/>
        <v>case 4: return 2;//plays up to frame arg[0]</v>
      </c>
    </row>
    <row r="6" spans="1:8" x14ac:dyDescent="0.45">
      <c r="A6">
        <v>5</v>
      </c>
      <c r="B6">
        <f t="shared" si="0"/>
        <v>5</v>
      </c>
      <c r="C6" t="s">
        <v>40</v>
      </c>
      <c r="D6" t="str">
        <f t="shared" si="1"/>
        <v>"5????",</v>
      </c>
      <c r="E6" s="1">
        <v>1</v>
      </c>
      <c r="F6" t="s">
        <v>10</v>
      </c>
      <c r="G6" t="str">
        <f t="shared" si="2"/>
        <v>"unknown, set frame for static cutscene?",</v>
      </c>
      <c r="H6" t="str">
        <f t="shared" si="3"/>
        <v>case 5: return 1;//unknown, set frame for static cutscene?</v>
      </c>
    </row>
    <row r="7" spans="1:8" x14ac:dyDescent="0.45">
      <c r="A7">
        <v>6</v>
      </c>
      <c r="B7">
        <f t="shared" si="0"/>
        <v>6</v>
      </c>
      <c r="C7" t="s">
        <v>11</v>
      </c>
      <c r="D7" t="str">
        <f t="shared" si="1"/>
        <v>"end-cutsc",</v>
      </c>
      <c r="E7">
        <v>0</v>
      </c>
      <c r="F7" t="s">
        <v>12</v>
      </c>
      <c r="G7" t="str">
        <f t="shared" si="2"/>
        <v>"ends cutscene",</v>
      </c>
      <c r="H7" t="str">
        <f t="shared" si="3"/>
        <v>case 6: return 0;//ends cutscene</v>
      </c>
    </row>
    <row r="8" spans="1:8" x14ac:dyDescent="0.45">
      <c r="A8">
        <v>7</v>
      </c>
      <c r="B8">
        <f t="shared" si="0"/>
        <v>7</v>
      </c>
      <c r="C8" t="s">
        <v>13</v>
      </c>
      <c r="D8" t="str">
        <f t="shared" si="1"/>
        <v>"rep-seg",</v>
      </c>
      <c r="E8">
        <v>1</v>
      </c>
      <c r="F8" t="s">
        <v>14</v>
      </c>
      <c r="G8" t="str">
        <f t="shared" si="2"/>
        <v>"repeat segment arg[0] times",</v>
      </c>
      <c r="H8" t="str">
        <f t="shared" si="3"/>
        <v>case 7: return 1;//repeat segment arg[0] times</v>
      </c>
    </row>
    <row r="9" spans="1:8" x14ac:dyDescent="0.45">
      <c r="A9">
        <v>8</v>
      </c>
      <c r="B9">
        <f t="shared" si="0"/>
        <v>8</v>
      </c>
      <c r="C9" t="s">
        <v>15</v>
      </c>
      <c r="D9" t="str">
        <f t="shared" si="1"/>
        <v>"open-file",</v>
      </c>
      <c r="E9">
        <v>2</v>
      </c>
      <c r="F9" t="s">
        <v>38</v>
      </c>
      <c r="G9" t="str">
        <f t="shared" si="2"/>
        <v>"opens a new file csXXX.nYY, with XXX from arg[0] and YY from arg[1]; XXX and YY are formatted octal values",</v>
      </c>
      <c r="H9" t="str">
        <f t="shared" si="3"/>
        <v>case 8: return 2;//opens a new file csXXX.nYY, with XXX from arg[0] and YY from arg[1]; XXX and YY are formatted octal values</v>
      </c>
    </row>
    <row r="10" spans="1:8" x14ac:dyDescent="0.45">
      <c r="A10">
        <v>9</v>
      </c>
      <c r="B10">
        <f t="shared" si="0"/>
        <v>9</v>
      </c>
      <c r="C10" t="s">
        <v>16</v>
      </c>
      <c r="D10" t="str">
        <f t="shared" si="1"/>
        <v>"fade-out",</v>
      </c>
      <c r="E10">
        <v>1</v>
      </c>
      <c r="F10" t="s">
        <v>17</v>
      </c>
      <c r="G10" t="str">
        <f t="shared" si="2"/>
        <v>"fades out at rate arg[0] (higher is faster)",</v>
      </c>
      <c r="H10" t="str">
        <f t="shared" si="3"/>
        <v>case 9: return 1;//fades out at rate arg[0] (higher is faster)</v>
      </c>
    </row>
    <row r="11" spans="1:8" x14ac:dyDescent="0.45">
      <c r="A11" t="s">
        <v>18</v>
      </c>
      <c r="B11">
        <f t="shared" si="0"/>
        <v>10</v>
      </c>
      <c r="C11" t="s">
        <v>19</v>
      </c>
      <c r="D11" t="str">
        <f t="shared" si="1"/>
        <v>"fade-in",</v>
      </c>
      <c r="E11">
        <v>1</v>
      </c>
      <c r="F11" t="s">
        <v>20</v>
      </c>
      <c r="G11" t="str">
        <f t="shared" si="2"/>
        <v>"fades in at rate arg[0] (higher is faster)",</v>
      </c>
      <c r="H11" t="str">
        <f t="shared" si="3"/>
        <v>case 10: return 1;//fades in at rate arg[0] (higher is faster)</v>
      </c>
    </row>
    <row r="12" spans="1:8" x14ac:dyDescent="0.45">
      <c r="A12" t="s">
        <v>21</v>
      </c>
      <c r="B12">
        <f t="shared" si="0"/>
        <v>11</v>
      </c>
      <c r="C12" t="s">
        <v>41</v>
      </c>
      <c r="D12" t="str">
        <f t="shared" si="1"/>
        <v>"11????",</v>
      </c>
      <c r="E12">
        <v>1</v>
      </c>
      <c r="F12" t="s">
        <v>22</v>
      </c>
      <c r="G12" t="str">
        <f t="shared" si="2"/>
        <v>"unknown",</v>
      </c>
      <c r="H12" t="str">
        <f t="shared" si="3"/>
        <v>case 11: return 1;//unknown</v>
      </c>
    </row>
    <row r="13" spans="1:8" x14ac:dyDescent="0.45">
      <c r="A13" t="s">
        <v>23</v>
      </c>
      <c r="B13">
        <f t="shared" si="0"/>
        <v>12</v>
      </c>
      <c r="C13" t="s">
        <v>42</v>
      </c>
      <c r="D13" t="str">
        <f t="shared" si="1"/>
        <v>"12????",</v>
      </c>
      <c r="E13">
        <v>1</v>
      </c>
      <c r="F13" t="s">
        <v>22</v>
      </c>
      <c r="G13" t="str">
        <f t="shared" si="2"/>
        <v>"unknown",</v>
      </c>
      <c r="H13" t="str">
        <f t="shared" si="3"/>
        <v>case 12: return 1;//unknown</v>
      </c>
    </row>
    <row r="14" spans="1:8" x14ac:dyDescent="0.45">
      <c r="A14" t="s">
        <v>24</v>
      </c>
      <c r="B14">
        <f t="shared" si="0"/>
        <v>13</v>
      </c>
      <c r="C14" t="s">
        <v>25</v>
      </c>
      <c r="D14" t="str">
        <f t="shared" si="1"/>
        <v>"text-play",</v>
      </c>
      <c r="E14">
        <v>3</v>
      </c>
      <c r="F14" t="s">
        <v>39</v>
      </c>
      <c r="G14" t="str">
        <f t="shared" si="2"/>
        <v>"displays text arg[1] with color arg[0] and plays audio arg[2]",</v>
      </c>
      <c r="H14" t="str">
        <f t="shared" si="3"/>
        <v>case 13: return 3;//displays text arg[1] with color arg[0] and plays audio arg[2]</v>
      </c>
    </row>
    <row r="15" spans="1:8" x14ac:dyDescent="0.45">
      <c r="A15" t="s">
        <v>26</v>
      </c>
      <c r="B15">
        <f t="shared" si="0"/>
        <v>14</v>
      </c>
      <c r="C15" t="s">
        <v>43</v>
      </c>
      <c r="D15" t="str">
        <f t="shared" si="1"/>
        <v>"14????",</v>
      </c>
      <c r="E15">
        <v>2</v>
      </c>
      <c r="F15" t="s">
        <v>22</v>
      </c>
      <c r="G15" t="str">
        <f t="shared" si="2"/>
        <v>"unknown",</v>
      </c>
      <c r="H15" t="str">
        <f t="shared" si="3"/>
        <v>case 14: return 2;//unknown</v>
      </c>
    </row>
    <row r="16" spans="1:8" x14ac:dyDescent="0.45">
      <c r="A16" t="s">
        <v>27</v>
      </c>
      <c r="B16">
        <f t="shared" si="0"/>
        <v>15</v>
      </c>
      <c r="C16" t="s">
        <v>28</v>
      </c>
      <c r="D16" t="str">
        <f t="shared" si="1"/>
        <v>"klang",</v>
      </c>
      <c r="E16">
        <v>0</v>
      </c>
      <c r="F16" t="s">
        <v>29</v>
      </c>
      <c r="G16" t="str">
        <f t="shared" si="2"/>
        <v>"plays 'klang' sound",</v>
      </c>
      <c r="H16" t="str">
        <f t="shared" si="3"/>
        <v>case 15: return 0;//plays 'klang' sound</v>
      </c>
    </row>
    <row r="17" spans="1:8" x14ac:dyDescent="0.45">
      <c r="A17">
        <v>10</v>
      </c>
      <c r="B17">
        <f t="shared" si="0"/>
        <v>16</v>
      </c>
      <c r="C17" t="s">
        <v>44</v>
      </c>
      <c r="D17" t="str">
        <f t="shared" si="1"/>
        <v>"16????",</v>
      </c>
      <c r="E17" t="s">
        <v>30</v>
      </c>
      <c r="F17" t="s">
        <v>31</v>
      </c>
      <c r="G17" t="str">
        <f t="shared" si="2"/>
        <v>"unknown, not used in uw2",</v>
      </c>
      <c r="H17" t="str">
        <f t="shared" si="3"/>
        <v>case 16: return *;//unknown, not used in uw2</v>
      </c>
    </row>
    <row r="18" spans="1:8" x14ac:dyDescent="0.45">
      <c r="A18">
        <v>11</v>
      </c>
      <c r="B18">
        <f t="shared" si="0"/>
        <v>17</v>
      </c>
      <c r="C18" t="s">
        <v>45</v>
      </c>
      <c r="D18" t="str">
        <f t="shared" si="1"/>
        <v>"17????",</v>
      </c>
      <c r="E18" t="s">
        <v>30</v>
      </c>
      <c r="F18" t="s">
        <v>31</v>
      </c>
      <c r="G18" t="str">
        <f t="shared" si="2"/>
        <v>"unknown, not used in uw2",</v>
      </c>
      <c r="H18" t="str">
        <f t="shared" si="3"/>
        <v>case 17: return *;//unknown, not used in uw2</v>
      </c>
    </row>
    <row r="19" spans="1:8" x14ac:dyDescent="0.45">
      <c r="A19">
        <v>12</v>
      </c>
      <c r="B19">
        <f t="shared" si="0"/>
        <v>18</v>
      </c>
      <c r="C19" t="s">
        <v>32</v>
      </c>
      <c r="D19" t="str">
        <f t="shared" si="1"/>
        <v>"no-op2",</v>
      </c>
      <c r="E19">
        <v>4</v>
      </c>
      <c r="F19" t="s">
        <v>33</v>
      </c>
      <c r="G19" t="str">
        <f t="shared" si="2"/>
        <v>"does nothing, not used in uw2",</v>
      </c>
      <c r="H19" t="str">
        <f t="shared" si="3"/>
        <v>case 18: return 4;//does nothing, not used in uw2</v>
      </c>
    </row>
    <row r="20" spans="1:8" x14ac:dyDescent="0.45">
      <c r="A20">
        <v>13</v>
      </c>
      <c r="B20">
        <f t="shared" si="0"/>
        <v>19</v>
      </c>
      <c r="C20" t="s">
        <v>46</v>
      </c>
      <c r="D20" t="str">
        <f t="shared" si="1"/>
        <v>"19????",</v>
      </c>
      <c r="E20">
        <v>3</v>
      </c>
      <c r="F20" t="s">
        <v>22</v>
      </c>
      <c r="G20" t="str">
        <f t="shared" si="2"/>
        <v>"unknown",</v>
      </c>
      <c r="H20" t="str">
        <f t="shared" si="3"/>
        <v>case 19: return 3;//unknown</v>
      </c>
    </row>
    <row r="21" spans="1:8" x14ac:dyDescent="0.45">
      <c r="A21">
        <v>14</v>
      </c>
      <c r="B21">
        <f t="shared" si="0"/>
        <v>20</v>
      </c>
      <c r="C21" t="s">
        <v>47</v>
      </c>
      <c r="D21" t="str">
        <f t="shared" si="1"/>
        <v>"20????",</v>
      </c>
      <c r="E21">
        <v>3</v>
      </c>
      <c r="F21" t="s">
        <v>22</v>
      </c>
      <c r="G21" t="str">
        <f t="shared" si="2"/>
        <v>"unknown",</v>
      </c>
      <c r="H21" t="str">
        <f t="shared" si="3"/>
        <v>case 20: return 3;//unknown</v>
      </c>
    </row>
    <row r="22" spans="1:8" x14ac:dyDescent="0.45">
      <c r="A22">
        <v>15</v>
      </c>
      <c r="B22">
        <f t="shared" si="0"/>
        <v>21</v>
      </c>
      <c r="C22" t="s">
        <v>48</v>
      </c>
      <c r="D22" t="str">
        <f t="shared" si="1"/>
        <v>"21????",</v>
      </c>
      <c r="E22">
        <v>2</v>
      </c>
      <c r="F22" t="s">
        <v>22</v>
      </c>
      <c r="G22" t="str">
        <f t="shared" si="2"/>
        <v>"unknown",</v>
      </c>
      <c r="H22" t="str">
        <f t="shared" si="3"/>
        <v>case 21: return 2;//unknown</v>
      </c>
    </row>
    <row r="23" spans="1:8" x14ac:dyDescent="0.45">
      <c r="A23">
        <v>16</v>
      </c>
      <c r="B23">
        <f t="shared" si="0"/>
        <v>22</v>
      </c>
      <c r="C23" t="s">
        <v>49</v>
      </c>
      <c r="D23" t="str">
        <f t="shared" si="1"/>
        <v>"22????",</v>
      </c>
      <c r="E23">
        <v>3</v>
      </c>
      <c r="F23" t="s">
        <v>22</v>
      </c>
      <c r="G23" t="str">
        <f t="shared" si="2"/>
        <v>"unknown",</v>
      </c>
      <c r="H23" t="str">
        <f t="shared" si="3"/>
        <v>case 22: return 3;//unknown</v>
      </c>
    </row>
    <row r="24" spans="1:8" x14ac:dyDescent="0.45">
      <c r="A24">
        <v>17</v>
      </c>
      <c r="B24">
        <f t="shared" si="0"/>
        <v>23</v>
      </c>
      <c r="C24" t="s">
        <v>50</v>
      </c>
      <c r="D24" t="str">
        <f t="shared" si="1"/>
        <v>"23????",</v>
      </c>
      <c r="E24">
        <v>3</v>
      </c>
      <c r="F24" t="s">
        <v>22</v>
      </c>
      <c r="G24" t="str">
        <f t="shared" si="2"/>
        <v>"unknown",</v>
      </c>
      <c r="H24" t="str">
        <f t="shared" si="3"/>
        <v>case 23: return 3;//unknown</v>
      </c>
    </row>
    <row r="25" spans="1:8" x14ac:dyDescent="0.45">
      <c r="A25">
        <v>18</v>
      </c>
      <c r="B25">
        <f t="shared" si="0"/>
        <v>24</v>
      </c>
      <c r="C25" t="s">
        <v>51</v>
      </c>
      <c r="D25" t="str">
        <f t="shared" si="1"/>
        <v>"24????",</v>
      </c>
      <c r="E25">
        <v>1</v>
      </c>
      <c r="F25" t="s">
        <v>34</v>
      </c>
      <c r="G25" t="str">
        <f t="shared" si="2"/>
        <v>"unknown, usually at the start of cutscene",</v>
      </c>
      <c r="H25" t="str">
        <f t="shared" si="3"/>
        <v>case 24: return 1;//unknown, usually at the start of cutscene</v>
      </c>
    </row>
    <row r="26" spans="1:8" x14ac:dyDescent="0.45">
      <c r="A26">
        <v>19</v>
      </c>
      <c r="B26">
        <f t="shared" si="0"/>
        <v>25</v>
      </c>
      <c r="C26" t="s">
        <v>54</v>
      </c>
      <c r="D26" t="str">
        <f t="shared" si="1"/>
        <v>"music",</v>
      </c>
      <c r="E26">
        <v>1</v>
      </c>
      <c r="F26" t="s">
        <v>55</v>
      </c>
      <c r="G26" t="str">
        <f t="shared" si="2"/>
        <v>"Plays Music theme given by arg[0]",</v>
      </c>
      <c r="H26" t="str">
        <f t="shared" si="3"/>
        <v>case 25: return 1;//Plays Music theme given by arg[0]</v>
      </c>
    </row>
    <row r="27" spans="1:8" x14ac:dyDescent="0.45">
      <c r="A27" t="s">
        <v>35</v>
      </c>
      <c r="B27">
        <f t="shared" si="0"/>
        <v>26</v>
      </c>
      <c r="C27" t="s">
        <v>36</v>
      </c>
      <c r="D27" t="str">
        <f t="shared" si="1"/>
        <v>"no-op3",</v>
      </c>
      <c r="E27">
        <v>1</v>
      </c>
      <c r="F27" t="s">
        <v>33</v>
      </c>
      <c r="G27" t="str">
        <f t="shared" si="2"/>
        <v>"does nothing, not used in uw2",</v>
      </c>
      <c r="H27" t="str">
        <f t="shared" si="3"/>
        <v>case 26: return 1;//does nothing, not used in uw2</v>
      </c>
    </row>
    <row r="28" spans="1:8" x14ac:dyDescent="0.45">
      <c r="A28" t="s">
        <v>37</v>
      </c>
      <c r="B28">
        <f t="shared" si="0"/>
        <v>27</v>
      </c>
      <c r="C28" t="s">
        <v>52</v>
      </c>
      <c r="D28" t="str">
        <f t="shared" si="1"/>
        <v>"27????",</v>
      </c>
      <c r="E28">
        <v>1</v>
      </c>
      <c r="F28" t="s">
        <v>22</v>
      </c>
      <c r="G28" t="str">
        <f t="shared" si="2"/>
        <v>"unknown",</v>
      </c>
      <c r="H28" t="str">
        <f t="shared" si="3"/>
        <v>case 27: return 1;//unknown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3CA60-244C-4179-BE99-F941F3EAB977}">
  <dimension ref="A1"/>
  <sheetViews>
    <sheetView workbookViewId="0">
      <selection activeCell="B6" sqref="B6"/>
    </sheetView>
  </sheetViews>
  <sheetFormatPr defaultRowHeight="14.25" x14ac:dyDescent="0.45"/>
  <sheetData>
    <row r="1" spans="1:1" x14ac:dyDescent="0.45">
      <c r="A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88B38-FB7A-42C7-BF8F-4A09B5B8947D}">
  <dimension ref="A1:E21"/>
  <sheetViews>
    <sheetView tabSelected="1" topLeftCell="A2" workbookViewId="0">
      <selection activeCell="C15" sqref="C15"/>
    </sheetView>
  </sheetViews>
  <sheetFormatPr defaultRowHeight="14.25" x14ac:dyDescent="0.45"/>
  <cols>
    <col min="3" max="3" width="58.9296875" customWidth="1"/>
  </cols>
  <sheetData>
    <row r="1" spans="1:5" x14ac:dyDescent="0.45">
      <c r="A1" t="s">
        <v>78</v>
      </c>
      <c r="B1" t="s">
        <v>77</v>
      </c>
      <c r="C1" t="s">
        <v>76</v>
      </c>
    </row>
    <row r="7" spans="1:5" x14ac:dyDescent="0.45">
      <c r="A7" t="s">
        <v>75</v>
      </c>
      <c r="B7" t="s">
        <v>61</v>
      </c>
      <c r="C7" t="s">
        <v>74</v>
      </c>
    </row>
    <row r="8" spans="1:5" x14ac:dyDescent="0.45">
      <c r="A8" t="s">
        <v>73</v>
      </c>
      <c r="B8" t="s">
        <v>61</v>
      </c>
      <c r="C8" t="s">
        <v>72</v>
      </c>
    </row>
    <row r="9" spans="1:5" x14ac:dyDescent="0.45">
      <c r="A9" t="s">
        <v>71</v>
      </c>
      <c r="B9" t="s">
        <v>61</v>
      </c>
      <c r="C9" t="s">
        <v>70</v>
      </c>
    </row>
    <row r="10" spans="1:5" x14ac:dyDescent="0.45">
      <c r="A10" t="s">
        <v>69</v>
      </c>
      <c r="B10" t="s">
        <v>61</v>
      </c>
      <c r="C10" t="s">
        <v>68</v>
      </c>
    </row>
    <row r="11" spans="1:5" x14ac:dyDescent="0.45">
      <c r="A11" t="s">
        <v>67</v>
      </c>
      <c r="B11" t="s">
        <v>61</v>
      </c>
      <c r="C11" s="2" t="s">
        <v>66</v>
      </c>
      <c r="E11" t="s">
        <v>65</v>
      </c>
    </row>
    <row r="12" spans="1:5" x14ac:dyDescent="0.45">
      <c r="A12" t="s">
        <v>64</v>
      </c>
      <c r="B12" t="s">
        <v>61</v>
      </c>
      <c r="C12" t="s">
        <v>63</v>
      </c>
    </row>
    <row r="13" spans="1:5" x14ac:dyDescent="0.45">
      <c r="A13" t="s">
        <v>62</v>
      </c>
      <c r="B13" t="s">
        <v>61</v>
      </c>
      <c r="C13" t="s">
        <v>60</v>
      </c>
    </row>
    <row r="14" spans="1:5" x14ac:dyDescent="0.45">
      <c r="A14" t="s">
        <v>59</v>
      </c>
      <c r="B14">
        <v>0</v>
      </c>
      <c r="C14" t="s">
        <v>58</v>
      </c>
    </row>
    <row r="15" spans="1:5" x14ac:dyDescent="0.45">
      <c r="B15">
        <v>1</v>
      </c>
      <c r="C15" t="s">
        <v>57</v>
      </c>
    </row>
    <row r="16" spans="1:5" x14ac:dyDescent="0.45">
      <c r="B16">
        <v>2</v>
      </c>
      <c r="C16" t="s">
        <v>56</v>
      </c>
    </row>
    <row r="17" spans="2:3" x14ac:dyDescent="0.45">
      <c r="B17">
        <v>3</v>
      </c>
      <c r="C17" t="s">
        <v>56</v>
      </c>
    </row>
    <row r="18" spans="2:3" x14ac:dyDescent="0.45">
      <c r="B18">
        <v>4</v>
      </c>
    </row>
    <row r="19" spans="2:3" x14ac:dyDescent="0.45">
      <c r="B19">
        <v>5</v>
      </c>
    </row>
    <row r="20" spans="2:3" x14ac:dyDescent="0.45">
      <c r="B20">
        <v>6</v>
      </c>
    </row>
    <row r="21" spans="2:3" x14ac:dyDescent="0.45">
      <c r="B21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functions</vt:lpstr>
      <vt:lpstr>source</vt:lpstr>
      <vt:lpstr>Cutscene flags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2023-03-31T18:55:08Z</dcterms:created>
  <dcterms:modified xsi:type="dcterms:W3CDTF">2026-04-07T20:29:19Z</dcterms:modified>
</cp:coreProperties>
</file>